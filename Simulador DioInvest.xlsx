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d.docs.live.net/1b4ae31c9667e455/Desktop/"/>
    </mc:Choice>
  </mc:AlternateContent>
  <xr:revisionPtr revIDLastSave="0" documentId="8_{3B8E2092-9535-4C16-B9E8-E668AF4D853F}" xr6:coauthVersionLast="47" xr6:coauthVersionMax="47" xr10:uidLastSave="{00000000-0000-0000-0000-000000000000}"/>
  <bookViews>
    <workbookView xWindow="-108" yWindow="-108" windowWidth="23256" windowHeight="12456" xr2:uid="{0E1B5FC1-72CD-49F5-9F51-A3F508A8C37E}"/>
  </bookViews>
  <sheets>
    <sheet name="App" sheetId="1" r:id="rId1"/>
    <sheet name="Planilha de Apoio" sheetId="2" r:id="rId2"/>
  </sheets>
  <definedNames>
    <definedName name="aporte">App!$D$18</definedName>
    <definedName name="montante">App!$D$21</definedName>
    <definedName name="patrimonio_acumulado">App!$D$21</definedName>
    <definedName name="perfil">App!$C$31</definedName>
    <definedName name="periodo">App!$D$19</definedName>
    <definedName name="rendimento_carteira">App!$D$14</definedName>
    <definedName name="salario">App!$D$13</definedName>
    <definedName name="sugestao_investimento">App!$D$15</definedName>
    <definedName name="taxa_mensal">App!$D$20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  <c r="C36" i="1"/>
  <c r="C37" i="1"/>
  <c r="C38" i="1"/>
  <c r="C39" i="1"/>
  <c r="C40" i="1"/>
  <c r="C35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D21" i="1"/>
  <c r="D22" i="1" s="1"/>
  <c r="D15" i="1"/>
  <c r="C26" i="1"/>
  <c r="D26" i="1" s="1"/>
  <c r="C27" i="1"/>
  <c r="D27" i="1" s="1"/>
  <c r="C28" i="1"/>
  <c r="D28" i="1" s="1"/>
  <c r="C29" i="1"/>
  <c r="D29" i="1" s="1"/>
  <c r="C25" i="1"/>
  <c r="D25" i="1" s="1"/>
  <c r="B26" i="1"/>
  <c r="B27" i="1"/>
  <c r="B28" i="1"/>
  <c r="B29" i="1"/>
  <c r="B25" i="1"/>
  <c r="D36" i="1" l="1"/>
  <c r="D37" i="1"/>
  <c r="D38" i="1"/>
  <c r="D39" i="1"/>
  <c r="D40" i="1"/>
  <c r="D35" i="1"/>
  <c r="D41" i="1" l="1"/>
</calcChain>
</file>

<file path=xl/sharedStrings.xml><?xml version="1.0" encoding="utf-8"?>
<sst xmlns="http://schemas.openxmlformats.org/spreadsheetml/2006/main" count="64" uniqueCount="28">
  <si>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</si>
  <si>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</si>
  <si>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</si>
  <si>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</si>
  <si>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</si>
  <si>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</si>
  <si>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</si>
  <si>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</si>
  <si>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</si>
  <si>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</si>
  <si>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</si>
  <si>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</si>
  <si>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</si>
  <si>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</si>
  <si>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</si>
  <si>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</si>
  <si>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</si>
  <si>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</si>
  <si>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</si>
  <si>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</si>
  <si>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</si>
  <si>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</si>
  <si>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</si>
  <si>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</t>
  </si>
  <si>
    <t>CHAVE</t>
  </si>
  <si>
    <t>%</t>
  </si>
  <si>
    <t>MODERADO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</si>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</sst>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0"/>
      <color rgb="FFFFFFCC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theme="2" tint="-0.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0" fillId="0" borderId="0" xfId="0" applyBorder="1"/>
    <xf numFmtId="0" fontId="9" fillId="3" borderId="2" xfId="0" applyFont="1" applyFill="1" applyBorder="1" applyAlignment="1">
      <alignment horizontal="center" vertical="center"/>
    </xf>
    <xf numFmtId="165" fontId="0" fillId="4" borderId="11" xfId="1" applyNumberFormat="1" applyFont="1" applyFill="1" applyBorder="1" applyAlignment="1">
      <alignment horizontal="center" vertical="center"/>
    </xf>
    <xf numFmtId="165" fontId="0" fillId="4" borderId="12" xfId="0" applyNumberFormat="1" applyFont="1" applyFill="1" applyBorder="1" applyAlignment="1">
      <alignment horizontal="center" vertical="center"/>
    </xf>
    <xf numFmtId="165" fontId="0" fillId="4" borderId="12" xfId="2" applyNumberFormat="1" applyFont="1" applyFill="1" applyBorder="1" applyAlignment="1">
      <alignment horizontal="center" vertical="center"/>
    </xf>
    <xf numFmtId="165" fontId="0" fillId="4" borderId="12" xfId="1" applyNumberFormat="1" applyFont="1" applyFill="1" applyBorder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64" fontId="0" fillId="0" borderId="16" xfId="2" applyNumberFormat="1" applyFont="1" applyBorder="1" applyAlignment="1">
      <alignment horizontal="center" vertical="center"/>
    </xf>
    <xf numFmtId="165" fontId="0" fillId="0" borderId="19" xfId="2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0" fontId="0" fillId="0" borderId="21" xfId="2" applyNumberFormat="1" applyFont="1" applyBorder="1" applyAlignment="1">
      <alignment horizontal="center" vertical="center"/>
    </xf>
    <xf numFmtId="8" fontId="0" fillId="4" borderId="23" xfId="0" applyNumberFormat="1" applyFill="1" applyBorder="1" applyAlignment="1">
      <alignment horizontal="center" vertical="center"/>
    </xf>
    <xf numFmtId="8" fontId="0" fillId="4" borderId="26" xfId="0" applyNumberFormat="1" applyFill="1" applyBorder="1" applyAlignment="1">
      <alignment horizontal="center" vertical="center"/>
    </xf>
    <xf numFmtId="165" fontId="0" fillId="4" borderId="23" xfId="0" applyNumberFormat="1" applyFont="1" applyFill="1" applyBorder="1" applyAlignment="1">
      <alignment horizontal="center"/>
    </xf>
    <xf numFmtId="165" fontId="0" fillId="4" borderId="28" xfId="0" applyNumberFormat="1" applyFont="1" applyFill="1" applyBorder="1" applyAlignment="1">
      <alignment horizontal="center"/>
    </xf>
    <xf numFmtId="165" fontId="0" fillId="4" borderId="25" xfId="0" applyNumberFormat="1" applyFont="1" applyFill="1" applyBorder="1" applyAlignment="1">
      <alignment horizontal="center" vertical="center"/>
    </xf>
    <xf numFmtId="165" fontId="0" fillId="4" borderId="26" xfId="0" applyNumberFormat="1" applyFont="1" applyFill="1" applyBorder="1" applyAlignment="1">
      <alignment horizontal="center"/>
    </xf>
    <xf numFmtId="0" fontId="0" fillId="6" borderId="0" xfId="0" applyFill="1"/>
    <xf numFmtId="0" fontId="8" fillId="6" borderId="0" xfId="0" applyFont="1" applyFill="1"/>
    <xf numFmtId="0" fontId="7" fillId="4" borderId="22" xfId="0" applyFont="1" applyFill="1" applyBorder="1" applyAlignment="1">
      <alignment horizontal="left" indent="3"/>
    </xf>
    <xf numFmtId="0" fontId="7" fillId="4" borderId="27" xfId="0" applyFont="1" applyFill="1" applyBorder="1" applyAlignment="1">
      <alignment horizontal="left" indent="3"/>
    </xf>
    <xf numFmtId="0" fontId="7" fillId="4" borderId="24" xfId="0" applyFont="1" applyFill="1" applyBorder="1" applyAlignment="1">
      <alignment horizontal="left" indent="3"/>
    </xf>
    <xf numFmtId="0" fontId="11" fillId="2" borderId="0" xfId="3" applyFont="1"/>
    <xf numFmtId="0" fontId="4" fillId="6" borderId="0" xfId="0" applyFont="1" applyFill="1"/>
    <xf numFmtId="9" fontId="0" fillId="6" borderId="0" xfId="2" applyFon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indent="3"/>
    </xf>
    <xf numFmtId="0" fontId="3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165" fontId="5" fillId="7" borderId="0" xfId="0" applyNumberFormat="1" applyFont="1" applyFill="1" applyAlignment="1">
      <alignment horizontal="center"/>
    </xf>
    <xf numFmtId="0" fontId="11" fillId="2" borderId="0" xfId="3" applyFont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0" fontId="0" fillId="0" borderId="1" xfId="0" applyBorder="1"/>
    <xf numFmtId="0" fontId="0" fillId="0" borderId="7" xfId="0" applyBorder="1"/>
    <xf numFmtId="0" fontId="0" fillId="0" borderId="3" xfId="0" applyBorder="1"/>
    <xf numFmtId="0" fontId="0" fillId="0" borderId="5" xfId="0" applyBorder="1"/>
    <xf numFmtId="0" fontId="0" fillId="0" borderId="29" xfId="0" applyBorder="1"/>
    <xf numFmtId="9" fontId="0" fillId="0" borderId="2" xfId="2" applyFont="1" applyFill="1" applyBorder="1" applyAlignment="1">
      <alignment horizontal="center" vertical="center"/>
    </xf>
    <xf numFmtId="9" fontId="0" fillId="0" borderId="4" xfId="2" applyFont="1" applyFill="1" applyBorder="1" applyAlignment="1">
      <alignment horizontal="center" vertical="center"/>
    </xf>
    <xf numFmtId="9" fontId="0" fillId="0" borderId="6" xfId="2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indent="3"/>
    </xf>
    <xf numFmtId="0" fontId="7" fillId="0" borderId="8" xfId="0" applyFont="1" applyBorder="1" applyAlignment="1">
      <alignment horizontal="left" indent="3"/>
    </xf>
    <xf numFmtId="0" fontId="7" fillId="0" borderId="15" xfId="0" applyFont="1" applyBorder="1" applyAlignment="1">
      <alignment horizontal="left" indent="3"/>
    </xf>
    <xf numFmtId="0" fontId="7" fillId="0" borderId="9" xfId="0" applyFont="1" applyBorder="1" applyAlignment="1">
      <alignment horizontal="left" indent="3"/>
    </xf>
    <xf numFmtId="0" fontId="7" fillId="0" borderId="17" xfId="0" applyFont="1" applyBorder="1" applyAlignment="1">
      <alignment horizontal="left" indent="3"/>
    </xf>
    <xf numFmtId="0" fontId="7" fillId="0" borderId="18" xfId="0" applyFont="1" applyBorder="1" applyAlignment="1">
      <alignment horizontal="left" indent="3"/>
    </xf>
    <xf numFmtId="0" fontId="6" fillId="3" borderId="1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7" fillId="0" borderId="20" xfId="0" applyFont="1" applyBorder="1" applyAlignment="1">
      <alignment horizontal="left" indent="3"/>
    </xf>
    <xf numFmtId="0" fontId="7" fillId="0" borderId="10" xfId="0" applyFont="1" applyBorder="1" applyAlignment="1">
      <alignment horizontal="left" indent="3"/>
    </xf>
    <xf numFmtId="0" fontId="7" fillId="4" borderId="22" xfId="0" applyFont="1" applyFill="1" applyBorder="1" applyAlignment="1">
      <alignment horizontal="left" indent="3"/>
    </xf>
    <xf numFmtId="0" fontId="7" fillId="4" borderId="11" xfId="0" applyFont="1" applyFill="1" applyBorder="1" applyAlignment="1">
      <alignment horizontal="left" indent="3"/>
    </xf>
    <xf numFmtId="0" fontId="6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left" indent="3"/>
    </xf>
    <xf numFmtId="0" fontId="7" fillId="4" borderId="25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9F8F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88-4DC3-89D9-DA5879C5454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88-4DC3-89D9-DA5879C5454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88-4DC3-89D9-DA5879C5454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088-4DC3-89D9-DA5879C5454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088-4DC3-89D9-DA5879C5454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088-4DC3-89D9-DA5879C54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B-4C73-AB84-9D2B0CB4BFE8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088-4DC3-89D9-DA5879C5454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088-4DC3-89D9-DA5879C5454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088-4DC3-89D9-DA5879C5454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9088-4DC3-89D9-DA5879C5454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088-4DC3-89D9-DA5879C5454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9088-4DC3-89D9-DA5879C54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App!$D$35:$D$40</c:f>
              <c:numCache>
                <c:formatCode>"R$"\ #,##0.00</c:formatCode>
                <c:ptCount val="6"/>
                <c:pt idx="0">
                  <c:v>750</c:v>
                </c:pt>
                <c:pt idx="1">
                  <c:v>150</c:v>
                </c:pt>
                <c:pt idx="2">
                  <c:v>75</c:v>
                </c:pt>
                <c:pt idx="3">
                  <c:v>75</c:v>
                </c:pt>
                <c:pt idx="4">
                  <c:v>300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B-4C73-AB84-9D2B0CB4BF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13189</xdr:rowOff>
    </xdr:from>
    <xdr:to>
      <xdr:col>4</xdr:col>
      <xdr:colOff>180108</xdr:colOff>
      <xdr:row>10</xdr:row>
      <xdr:rowOff>101561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A4976EB-F537-89F4-2FB1-B6ACEB528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89"/>
          <a:ext cx="7606144" cy="1889463"/>
        </a:xfrm>
        <a:prstGeom prst="rect">
          <a:avLst/>
        </a:prstGeom>
      </xdr:spPr>
    </xdr:pic>
    <xdr:clientData/>
  </xdr:twoCellAnchor>
  <xdr:twoCellAnchor>
    <xdr:from>
      <xdr:col>1</xdr:col>
      <xdr:colOff>858981</xdr:colOff>
      <xdr:row>41</xdr:row>
      <xdr:rowOff>69272</xdr:rowOff>
    </xdr:from>
    <xdr:to>
      <xdr:col>3</xdr:col>
      <xdr:colOff>256308</xdr:colOff>
      <xdr:row>52</xdr:row>
      <xdr:rowOff>3463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5A0C0E-7201-0EEA-F15D-D84791B80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A1CF-1F68-4FF5-8158-20576D29C022}">
  <dimension ref="A1:G57"/>
  <sheetViews>
    <sheetView showGridLines="0" tabSelected="1" zoomScale="110" zoomScaleNormal="110" workbookViewId="0">
      <selection activeCell="D19" sqref="D19"/>
    </sheetView>
  </sheetViews>
  <sheetFormatPr defaultColWidth="0" defaultRowHeight="14.45"/>
  <cols>
    <col min="1" max="1" width="3" bestFit="1" customWidth="1"/>
    <col min="2" max="2" width="59.5703125" customWidth="1"/>
    <col min="3" max="3" width="23.85546875" customWidth="1"/>
    <col min="4" max="4" width="19.42578125" customWidth="1"/>
    <col min="5" max="5" width="3" customWidth="1"/>
    <col min="6" max="6" width="10.7109375" hidden="1" customWidth="1"/>
    <col min="7" max="7" width="0" hidden="1" customWidth="1"/>
    <col min="8" max="16384" width="8.85546875" hidden="1"/>
  </cols>
  <sheetData>
    <row r="1" spans="1:5" s="18" customFormat="1"/>
    <row r="2" spans="1:5" s="18" customFormat="1"/>
    <row r="3" spans="1:5" s="18" customFormat="1"/>
    <row r="4" spans="1:5" s="18" customFormat="1"/>
    <row r="5" spans="1:5" s="18" customFormat="1"/>
    <row r="6" spans="1:5" s="18" customFormat="1"/>
    <row r="7" spans="1:5" s="18" customFormat="1"/>
    <row r="8" spans="1:5" s="18" customFormat="1"/>
    <row r="9" spans="1:5" s="18" customFormat="1"/>
    <row r="10" spans="1:5" s="18" customFormat="1"/>
    <row r="11" spans="1:5" s="18" customFormat="1" ht="15" thickBot="1"/>
    <row r="12" spans="1:5" ht="25.9">
      <c r="A12" s="18"/>
      <c r="B12" s="41" t="s">
        <v>0</v>
      </c>
      <c r="C12" s="42"/>
      <c r="D12" s="43"/>
      <c r="E12" s="18"/>
    </row>
    <row r="13" spans="1:5" ht="16.149999999999999" thickBot="1">
      <c r="A13" s="18"/>
      <c r="B13" s="44" t="s">
        <v>1</v>
      </c>
      <c r="C13" s="45"/>
      <c r="D13" s="7">
        <v>5000</v>
      </c>
      <c r="E13" s="18"/>
    </row>
    <row r="14" spans="1:5" ht="16.149999999999999" thickBot="1">
      <c r="A14" s="18"/>
      <c r="B14" s="46" t="s">
        <v>2</v>
      </c>
      <c r="C14" s="47"/>
      <c r="D14" s="8">
        <v>6.0000000000000001E-3</v>
      </c>
      <c r="E14" s="18"/>
    </row>
    <row r="15" spans="1:5" ht="16.149999999999999" thickBot="1">
      <c r="A15" s="18"/>
      <c r="B15" s="48" t="s">
        <v>3</v>
      </c>
      <c r="C15" s="49"/>
      <c r="D15" s="9">
        <f>D13*0.3</f>
        <v>1500</v>
      </c>
      <c r="E15" s="18"/>
    </row>
    <row r="16" spans="1:5" ht="15" thickBot="1">
      <c r="A16" s="18"/>
      <c r="B16" s="18"/>
      <c r="C16" s="18"/>
      <c r="D16" s="18"/>
      <c r="E16" s="18"/>
    </row>
    <row r="17" spans="1:5" ht="27" customHeight="1">
      <c r="A17" s="18"/>
      <c r="B17" s="56" t="s">
        <v>4</v>
      </c>
      <c r="C17" s="57"/>
      <c r="D17" s="58"/>
      <c r="E17" s="18"/>
    </row>
    <row r="18" spans="1:5" ht="16.149999999999999" thickBot="1">
      <c r="A18" s="18"/>
      <c r="B18" s="44" t="s">
        <v>5</v>
      </c>
      <c r="C18" s="45"/>
      <c r="D18" s="7">
        <v>1500</v>
      </c>
      <c r="E18" s="18"/>
    </row>
    <row r="19" spans="1:5" ht="16.149999999999999" thickBot="1">
      <c r="A19" s="18"/>
      <c r="B19" s="46" t="s">
        <v>6</v>
      </c>
      <c r="C19" s="47"/>
      <c r="D19" s="10">
        <v>5</v>
      </c>
      <c r="E19" s="18"/>
    </row>
    <row r="20" spans="1:5" ht="15.6">
      <c r="A20" s="18"/>
      <c r="B20" s="52" t="s">
        <v>7</v>
      </c>
      <c r="C20" s="53"/>
      <c r="D20" s="11">
        <v>1.0789999999999999E-2</v>
      </c>
      <c r="E20" s="18"/>
    </row>
    <row r="21" spans="1:5" ht="16.149999999999999" thickBot="1">
      <c r="A21" s="18"/>
      <c r="B21" s="54" t="s">
        <v>8</v>
      </c>
      <c r="C21" s="55"/>
      <c r="D21" s="12">
        <f>FV(taxa_mensal,periodo*12,aporte*-1)</f>
        <v>125665.37099773147</v>
      </c>
      <c r="E21" s="18"/>
    </row>
    <row r="22" spans="1:5" ht="16.149999999999999" thickBot="1">
      <c r="A22" s="18"/>
      <c r="B22" s="59" t="s">
        <v>9</v>
      </c>
      <c r="C22" s="60"/>
      <c r="D22" s="13">
        <f>montante*rendimento_carteira</f>
        <v>753.9922259863888</v>
      </c>
      <c r="E22" s="18"/>
    </row>
    <row r="23" spans="1:5" ht="15" thickBot="1">
      <c r="A23" s="18"/>
      <c r="B23" s="18"/>
      <c r="C23" s="18"/>
      <c r="D23" s="18"/>
      <c r="E23" s="18"/>
    </row>
    <row r="24" spans="1:5" ht="25.9">
      <c r="A24" s="18"/>
      <c r="B24" s="50" t="s">
        <v>10</v>
      </c>
      <c r="C24" s="51"/>
      <c r="D24" s="2" t="s">
        <v>11</v>
      </c>
      <c r="E24" s="18"/>
    </row>
    <row r="25" spans="1:5" ht="16.149999999999999" thickBot="1">
      <c r="A25" s="19">
        <v>2</v>
      </c>
      <c r="B25" s="20" t="str">
        <f>"Quanto em "&amp;A25&amp;" anos?"</f>
        <v>Quanto em 2 anos?</v>
      </c>
      <c r="C25" s="3">
        <f>FV($D$20,A25*12,$D$18*-1)</f>
        <v>40841.440946467825</v>
      </c>
      <c r="D25" s="14">
        <f>C25*rendimento_carteira</f>
        <v>245.04864567880696</v>
      </c>
      <c r="E25" s="18"/>
    </row>
    <row r="26" spans="1:5" ht="16.149999999999999" thickBot="1">
      <c r="A26" s="19">
        <v>5</v>
      </c>
      <c r="B26" s="21" t="str">
        <f t="shared" ref="B26:B29" si="0">"Quanto em "&amp;A26&amp;" anos?"</f>
        <v>Quanto em 5 anos?</v>
      </c>
      <c r="C26" s="4">
        <f>FV($D$20,A26*12,$D$18*-1)</f>
        <v>125665.37099773147</v>
      </c>
      <c r="D26" s="15">
        <f>C26*rendimento_carteira</f>
        <v>753.9922259863888</v>
      </c>
      <c r="E26" s="18"/>
    </row>
    <row r="27" spans="1:5" ht="16.149999999999999" thickBot="1">
      <c r="A27" s="19">
        <v>10</v>
      </c>
      <c r="B27" s="21" t="str">
        <f t="shared" si="0"/>
        <v>Quanto em 10 anos?</v>
      </c>
      <c r="C27" s="5">
        <f>FV($D$20,A27*12,$D$18*-1)</f>
        <v>364926.3187952583</v>
      </c>
      <c r="D27" s="15">
        <f>C27*rendimento_carteira</f>
        <v>2189.55791277155</v>
      </c>
      <c r="E27" s="18"/>
    </row>
    <row r="28" spans="1:5" ht="16.149999999999999" thickBot="1">
      <c r="A28" s="19">
        <v>20</v>
      </c>
      <c r="B28" s="21" t="str">
        <f t="shared" si="0"/>
        <v>Quanto em 20 anos?</v>
      </c>
      <c r="C28" s="6">
        <f>FV($D$20,A28*12,$D$18*-1)</f>
        <v>1687797.600145621</v>
      </c>
      <c r="D28" s="15">
        <f>C28*rendimento_carteira</f>
        <v>10126.785600873725</v>
      </c>
      <c r="E28" s="18"/>
    </row>
    <row r="29" spans="1:5" ht="16.149999999999999" thickBot="1">
      <c r="A29" s="19">
        <v>30</v>
      </c>
      <c r="B29" s="22" t="str">
        <f t="shared" si="0"/>
        <v>Quanto em 30 anos?</v>
      </c>
      <c r="C29" s="16">
        <f>FV($D$20,A29*12,$D$18*-1)</f>
        <v>6483254.4825070715</v>
      </c>
      <c r="D29" s="17">
        <f>C29*rendimento_carteira</f>
        <v>38899.526895042429</v>
      </c>
      <c r="E29" s="18"/>
    </row>
    <row r="30" spans="1:5">
      <c r="A30" s="18"/>
      <c r="B30" s="18"/>
      <c r="C30" s="18"/>
      <c r="D30" s="18"/>
      <c r="E30" s="18"/>
    </row>
    <row r="31" spans="1:5">
      <c r="A31" s="18"/>
      <c r="B31" s="23" t="s">
        <v>12</v>
      </c>
      <c r="C31" s="31" t="s">
        <v>13</v>
      </c>
      <c r="D31" s="23"/>
      <c r="E31" s="18"/>
    </row>
    <row r="32" spans="1:5">
      <c r="A32" s="18"/>
      <c r="B32" s="24" t="s">
        <v>14</v>
      </c>
      <c r="C32" s="32">
        <f>aporte</f>
        <v>1500</v>
      </c>
      <c r="D32" s="18"/>
      <c r="E32" s="18"/>
    </row>
    <row r="33" spans="1:5">
      <c r="A33" s="18"/>
      <c r="B33" s="18"/>
      <c r="C33" s="18"/>
      <c r="D33" s="18"/>
      <c r="E33" s="18"/>
    </row>
    <row r="34" spans="1:5">
      <c r="A34" s="18"/>
      <c r="B34" s="28" t="s">
        <v>15</v>
      </c>
      <c r="C34" s="28" t="s">
        <v>16</v>
      </c>
      <c r="D34" s="28" t="s">
        <v>17</v>
      </c>
      <c r="E34" s="18"/>
    </row>
    <row r="35" spans="1:5">
      <c r="A35" s="18"/>
      <c r="B35" s="27" t="s">
        <v>18</v>
      </c>
      <c r="C35" s="25">
        <f>VLOOKUP(perfil&amp;"-"&amp;App!B35,'Planilha de Apoio'!A1:D19,4,FALSE)</f>
        <v>0.5</v>
      </c>
      <c r="D35" s="26">
        <f>$C$32*C35</f>
        <v>750</v>
      </c>
      <c r="E35" s="18"/>
    </row>
    <row r="36" spans="1:5">
      <c r="A36" s="18"/>
      <c r="B36" s="27" t="s">
        <v>19</v>
      </c>
      <c r="C36" s="25">
        <f>VLOOKUP(perfil&amp;"-"&amp;App!B36,'Planilha de Apoio'!A2:D20,4,FALSE)</f>
        <v>0.1</v>
      </c>
      <c r="D36" s="26">
        <f t="shared" ref="D36:D40" si="1">$C$32*C36</f>
        <v>150</v>
      </c>
      <c r="E36" s="18"/>
    </row>
    <row r="37" spans="1:5">
      <c r="A37" s="18"/>
      <c r="B37" s="27" t="s">
        <v>20</v>
      </c>
      <c r="C37" s="25">
        <f>VLOOKUP(perfil&amp;"-"&amp;App!B37,'Planilha de Apoio'!A3:D21,4,FALSE)</f>
        <v>0.05</v>
      </c>
      <c r="D37" s="26">
        <f t="shared" si="1"/>
        <v>75</v>
      </c>
      <c r="E37" s="18"/>
    </row>
    <row r="38" spans="1:5">
      <c r="A38" s="18"/>
      <c r="B38" s="27" t="s">
        <v>21</v>
      </c>
      <c r="C38" s="25">
        <f>VLOOKUP(perfil&amp;"-"&amp;App!B38,'Planilha de Apoio'!A4:D22,4,FALSE)</f>
        <v>0.05</v>
      </c>
      <c r="D38" s="26">
        <f t="shared" si="1"/>
        <v>75</v>
      </c>
      <c r="E38" s="18"/>
    </row>
    <row r="39" spans="1:5">
      <c r="A39" s="18"/>
      <c r="B39" s="27" t="s">
        <v>22</v>
      </c>
      <c r="C39" s="25">
        <f>VLOOKUP(perfil&amp;"-"&amp;App!B39,'Planilha de Apoio'!A5:D23,4,FALSE)</f>
        <v>0.2</v>
      </c>
      <c r="D39" s="26">
        <f t="shared" si="1"/>
        <v>300</v>
      </c>
      <c r="E39" s="18"/>
    </row>
    <row r="40" spans="1:5">
      <c r="A40" s="18"/>
      <c r="B40" s="27" t="s">
        <v>23</v>
      </c>
      <c r="C40" s="25">
        <f>VLOOKUP(perfil&amp;"-"&amp;App!B40,'Planilha de Apoio'!A6:D24,4,FALSE)</f>
        <v>0.1</v>
      </c>
      <c r="D40" s="26">
        <f t="shared" si="1"/>
        <v>150</v>
      </c>
      <c r="E40" s="18"/>
    </row>
    <row r="41" spans="1:5">
      <c r="B41" s="29"/>
      <c r="C41" s="29"/>
      <c r="D41" s="30">
        <f>SUM(D35:D40)</f>
        <v>1500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1">
    <mergeCell ref="B12:D12"/>
    <mergeCell ref="B13:C13"/>
    <mergeCell ref="B14:C14"/>
    <mergeCell ref="B15:C15"/>
    <mergeCell ref="B24:C24"/>
    <mergeCell ref="B20:C20"/>
    <mergeCell ref="B21:C21"/>
    <mergeCell ref="B17:D17"/>
    <mergeCell ref="B18:C18"/>
    <mergeCell ref="B19:C19"/>
    <mergeCell ref="B22:C22"/>
  </mergeCells>
  <dataValidations count="1">
    <dataValidation type="list" allowBlank="1" showInputMessage="1" showErrorMessage="1" sqref="C31" xr:uid="{4D550963-9206-4DEE-961B-00AA9EA88C7E}">
      <formula1>"AGRESSIVO, MODERADO, 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EB52-35E5-44E2-9FEE-7EDC8460E921}">
  <dimension ref="A1:D19"/>
  <sheetViews>
    <sheetView workbookViewId="0">
      <selection activeCell="D14" sqref="D14"/>
    </sheetView>
  </sheetViews>
  <sheetFormatPr defaultRowHeight="14.45"/>
  <cols>
    <col min="1" max="1" width="31.5703125" bestFit="1" customWidth="1"/>
    <col min="2" max="2" width="14" bestFit="1" customWidth="1"/>
    <col min="3" max="3" width="17.7109375" bestFit="1" customWidth="1"/>
  </cols>
  <sheetData>
    <row r="1" spans="1:4" ht="15" thickBot="1">
      <c r="A1" t="s">
        <v>24</v>
      </c>
      <c r="B1" t="s">
        <v>12</v>
      </c>
      <c r="C1" t="s">
        <v>15</v>
      </c>
      <c r="D1" t="s">
        <v>25</v>
      </c>
    </row>
    <row r="2" spans="1:4">
      <c r="A2" s="33" t="str">
        <f>B2&amp;"-"&amp;C2</f>
        <v>AGRESSIVO-PAPEL</v>
      </c>
      <c r="B2" s="34" t="s">
        <v>13</v>
      </c>
      <c r="C2" s="34" t="s">
        <v>18</v>
      </c>
      <c r="D2" s="38">
        <v>0.5</v>
      </c>
    </row>
    <row r="3" spans="1:4">
      <c r="A3" s="35" t="str">
        <f t="shared" ref="A3:A19" si="0">B3&amp;"-"&amp;C3</f>
        <v>AGRESSIVO-TIJOLO</v>
      </c>
      <c r="B3" s="1" t="s">
        <v>13</v>
      </c>
      <c r="C3" s="1" t="s">
        <v>19</v>
      </c>
      <c r="D3" s="39">
        <v>0.1</v>
      </c>
    </row>
    <row r="4" spans="1:4">
      <c r="A4" s="35" t="str">
        <f t="shared" si="0"/>
        <v>AGRESSIVO-HÍBRIDO</v>
      </c>
      <c r="B4" s="1" t="s">
        <v>13</v>
      </c>
      <c r="C4" s="1" t="s">
        <v>20</v>
      </c>
      <c r="D4" s="39">
        <v>0.05</v>
      </c>
    </row>
    <row r="5" spans="1:4">
      <c r="A5" s="35" t="str">
        <f t="shared" si="0"/>
        <v>AGRESSIVO-FOFs</v>
      </c>
      <c r="B5" s="1" t="s">
        <v>13</v>
      </c>
      <c r="C5" s="1" t="s">
        <v>21</v>
      </c>
      <c r="D5" s="39">
        <v>0.05</v>
      </c>
    </row>
    <row r="6" spans="1:4">
      <c r="A6" s="35" t="str">
        <f t="shared" si="0"/>
        <v>AGRESSIVO-DESENVOLVIMENTO</v>
      </c>
      <c r="B6" s="1" t="s">
        <v>13</v>
      </c>
      <c r="C6" s="1" t="s">
        <v>22</v>
      </c>
      <c r="D6" s="39">
        <v>0.2</v>
      </c>
    </row>
    <row r="7" spans="1:4" ht="15" thickBot="1">
      <c r="A7" s="36" t="str">
        <f t="shared" si="0"/>
        <v>AGRESSIVO-HOTELARIA</v>
      </c>
      <c r="B7" s="37" t="s">
        <v>13</v>
      </c>
      <c r="C7" s="37" t="s">
        <v>23</v>
      </c>
      <c r="D7" s="40">
        <v>0.1</v>
      </c>
    </row>
    <row r="8" spans="1:4">
      <c r="A8" s="33" t="str">
        <f t="shared" si="0"/>
        <v>MODERADO-PAPEL</v>
      </c>
      <c r="B8" s="34" t="s">
        <v>26</v>
      </c>
      <c r="C8" s="34" t="s">
        <v>18</v>
      </c>
      <c r="D8" s="38">
        <v>0.32</v>
      </c>
    </row>
    <row r="9" spans="1:4">
      <c r="A9" s="35" t="str">
        <f t="shared" si="0"/>
        <v>MODERADO-TIJOLO</v>
      </c>
      <c r="B9" s="1" t="s">
        <v>26</v>
      </c>
      <c r="C9" s="1" t="s">
        <v>19</v>
      </c>
      <c r="D9" s="39">
        <v>0.4</v>
      </c>
    </row>
    <row r="10" spans="1:4">
      <c r="A10" s="35" t="str">
        <f t="shared" si="0"/>
        <v>MODERADO-HÍBRIDO</v>
      </c>
      <c r="B10" s="1" t="s">
        <v>26</v>
      </c>
      <c r="C10" s="1" t="s">
        <v>20</v>
      </c>
      <c r="D10" s="39">
        <v>0.08</v>
      </c>
    </row>
    <row r="11" spans="1:4">
      <c r="A11" s="35" t="str">
        <f t="shared" si="0"/>
        <v>MODERADO-FOFs</v>
      </c>
      <c r="B11" s="1" t="s">
        <v>26</v>
      </c>
      <c r="C11" s="1" t="s">
        <v>21</v>
      </c>
      <c r="D11" s="39">
        <v>0.1</v>
      </c>
    </row>
    <row r="12" spans="1:4">
      <c r="A12" s="35" t="str">
        <f t="shared" si="0"/>
        <v>MODERADO-DESENVOLVIMENTO</v>
      </c>
      <c r="B12" s="1" t="s">
        <v>26</v>
      </c>
      <c r="C12" s="1" t="s">
        <v>22</v>
      </c>
      <c r="D12" s="39">
        <v>0.1</v>
      </c>
    </row>
    <row r="13" spans="1:4" ht="15" thickBot="1">
      <c r="A13" s="36" t="str">
        <f t="shared" si="0"/>
        <v>MODERADO-HOTELARIA</v>
      </c>
      <c r="B13" s="37" t="s">
        <v>26</v>
      </c>
      <c r="C13" s="37" t="s">
        <v>23</v>
      </c>
      <c r="D13" s="40">
        <v>0.1</v>
      </c>
    </row>
    <row r="14" spans="1:4">
      <c r="A14" s="33" t="str">
        <f t="shared" si="0"/>
        <v>CONSERVADOR-PAPEL</v>
      </c>
      <c r="B14" s="34" t="s">
        <v>27</v>
      </c>
      <c r="C14" s="34" t="s">
        <v>18</v>
      </c>
      <c r="D14" s="38">
        <v>0.3</v>
      </c>
    </row>
    <row r="15" spans="1:4">
      <c r="A15" s="35" t="str">
        <f t="shared" si="0"/>
        <v>CONSERVADOR-TIJOLO</v>
      </c>
      <c r="B15" s="1" t="s">
        <v>27</v>
      </c>
      <c r="C15" s="1" t="s">
        <v>19</v>
      </c>
      <c r="D15" s="39">
        <v>0.5</v>
      </c>
    </row>
    <row r="16" spans="1:4">
      <c r="A16" s="35" t="str">
        <f t="shared" si="0"/>
        <v>CONSERVADOR-HÍBRIDO</v>
      </c>
      <c r="B16" s="1" t="s">
        <v>27</v>
      </c>
      <c r="C16" s="1" t="s">
        <v>20</v>
      </c>
      <c r="D16" s="39">
        <v>0.1</v>
      </c>
    </row>
    <row r="17" spans="1:4">
      <c r="A17" s="35" t="str">
        <f t="shared" si="0"/>
        <v>CONSERVADOR-FOFs</v>
      </c>
      <c r="B17" s="1" t="s">
        <v>27</v>
      </c>
      <c r="C17" s="1" t="s">
        <v>21</v>
      </c>
      <c r="D17" s="39">
        <v>0.1</v>
      </c>
    </row>
    <row r="18" spans="1:4">
      <c r="A18" s="35" t="str">
        <f t="shared" si="0"/>
        <v>CONSERVADOR-DESENVOLVIMENTO</v>
      </c>
      <c r="B18" s="1" t="s">
        <v>27</v>
      </c>
      <c r="C18" s="1" t="s">
        <v>22</v>
      </c>
      <c r="D18" s="39">
        <v>0</v>
      </c>
    </row>
    <row r="19" spans="1:4" ht="15" thickBot="1">
      <c r="A19" s="36" t="str">
        <f t="shared" si="0"/>
        <v>CONSERVADOR-HOTELARIA</v>
      </c>
      <c r="B19" s="37" t="s">
        <v>27</v>
      </c>
      <c r="C19" s="37" t="s">
        <v>23</v>
      </c>
      <c r="D19" s="4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Gleidson</dc:creator>
  <cp:keywords/>
  <dc:description/>
  <cp:lastModifiedBy>Joao Gleidson</cp:lastModifiedBy>
  <cp:revision/>
  <dcterms:created xsi:type="dcterms:W3CDTF">2026-10-14T23:40:55Z</dcterms:created>
  <dcterms:modified xsi:type="dcterms:W3CDTF">2026-10-15T02:46:22Z</dcterms:modified>
  <cp:category/>
  <cp:contentStatus/>
</cp:coreProperties>
</file>